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Works\2026_Ke hoach\3. Chien luoc Du tru Nang luong Quoc gia\DCE-METRIC\"/>
    </mc:Choice>
  </mc:AlternateContent>
  <xr:revisionPtr revIDLastSave="0" documentId="13_ncr:1_{69A18050-8386-4FEB-8A52-122585E7C06C}" xr6:coauthVersionLast="47" xr6:coauthVersionMax="47" xr10:uidLastSave="{00000000-0000-0000-0000-000000000000}"/>
  <bookViews>
    <workbookView xWindow="-110" yWindow="-110" windowWidth="19420" windowHeight="11500" activeTab="1" xr2:uid="{9A64B6DE-55FB-4BE7-85AD-069764EDAB32}"/>
  </bookViews>
  <sheets>
    <sheet name="Inputs_Coal-BESS-PHS" sheetId="2" r:id="rId1"/>
    <sheet name="Oil &amp; Gas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2" l="1"/>
  <c r="E32" i="2"/>
  <c r="F32" i="2" s="1"/>
  <c r="H31" i="2"/>
  <c r="G31" i="2"/>
  <c r="E31" i="2"/>
  <c r="F31" i="2" s="1"/>
  <c r="F16" i="2"/>
  <c r="F15" i="2"/>
  <c r="F14" i="2"/>
  <c r="F13" i="2"/>
  <c r="F12" i="2"/>
  <c r="F11" i="2"/>
</calcChain>
</file>

<file path=xl/sharedStrings.xml><?xml version="1.0" encoding="utf-8"?>
<sst xmlns="http://schemas.openxmlformats.org/spreadsheetml/2006/main" count="117" uniqueCount="87">
  <si>
    <t>Investment cost (Mil. USD)</t>
  </si>
  <si>
    <t>Storage</t>
  </si>
  <si>
    <t>Unit</t>
  </si>
  <si>
    <t xml:space="preserve">Capacity  </t>
  </si>
  <si>
    <t>m3</t>
  </si>
  <si>
    <t>Crude oil (1 MTA)</t>
  </si>
  <si>
    <t>Crude oil (2 MTA)</t>
  </si>
  <si>
    <t>LNG (3 MTA)</t>
  </si>
  <si>
    <t>LNG (6 MTA)</t>
  </si>
  <si>
    <t>OPEX (Mil. USD/year)</t>
  </si>
  <si>
    <t>Note</t>
  </si>
  <si>
    <t>OPEX excluding the Crude oil cost</t>
  </si>
  <si>
    <t>OPEX excluding the oil products cost</t>
  </si>
  <si>
    <t>Crude oil (3 MTA)</t>
  </si>
  <si>
    <t>OPEX excluding the LNG cost</t>
  </si>
  <si>
    <t>LPG (240)</t>
  </si>
  <si>
    <t>Underground storage</t>
  </si>
  <si>
    <t>ENERGY RESERVE PRICE &amp; COST INPUTS - DGE-METRIC MODEL</t>
  </si>
  <si>
    <t>1. COAL</t>
  </si>
  <si>
    <t>STORAGE CAPEX</t>
  </si>
  <si>
    <t>Coverage</t>
  </si>
  <si>
    <t>Vol (Mt)</t>
  </si>
  <si>
    <t>One-time CAPEX (USD m)</t>
  </si>
  <si>
    <t>Amort+OPEX/yr (USD m)</t>
  </si>
  <si>
    <t>30 days</t>
  </si>
  <si>
    <t>60 days</t>
  </si>
  <si>
    <t>90 days</t>
  </si>
  <si>
    <t>RESERVE OPTION</t>
  </si>
  <si>
    <t>Reserve option</t>
  </si>
  <si>
    <t>Commodity</t>
  </si>
  <si>
    <t>Volume (Mt)</t>
  </si>
  <si>
    <t>Storage+maint. (USD m/yr)</t>
  </si>
  <si>
    <t>Financing/carry (USD m/yr)</t>
  </si>
  <si>
    <t>TOTAL cost/yr (USD m)</t>
  </si>
  <si>
    <t>Thermal energy (TWh)</t>
  </si>
  <si>
    <t>Useful electricity (TWh)</t>
  </si>
  <si>
    <t>Location note (input 4)</t>
  </si>
  <si>
    <t>Domestic coal</t>
  </si>
  <si>
    <t>Domestic: Quang Ninh mines &amp; power-plant coal yards</t>
  </si>
  <si>
    <t>Imported coal</t>
  </si>
  <si>
    <t>VN ports (Vinh Tan/Duyen Hai); foreign hired storage limited</t>
  </si>
  <si>
    <t>2. PSHP &amp; BESS</t>
  </si>
  <si>
    <t>Techno-economic parameter</t>
  </si>
  <si>
    <t>PSHP</t>
  </si>
  <si>
    <t>BESS 4h</t>
  </si>
  <si>
    <t>Source</t>
  </si>
  <si>
    <t>Unit CAPEX</t>
  </si>
  <si>
    <t>USD/kW · USD/kWh</t>
  </si>
  <si>
    <t>PSHP: VN/PDP8 1,200–NREL 2,500 → 1,500; BESS: VN landed 200 (BNEF pack 108/turnkey 165)</t>
  </si>
  <si>
    <t>OPEX (% CAPEX/yr)</t>
  </si>
  <si>
    <t>%</t>
  </si>
  <si>
    <t>NREL ATB 2024</t>
  </si>
  <si>
    <t>Life (n)</t>
  </si>
  <si>
    <t>years</t>
  </si>
  <si>
    <t>DTQG evaluation horizon (VPI choice); see note</t>
  </si>
  <si>
    <t>Discount rate r</t>
  </si>
  <si>
    <t>PSHP: SOE 7.5%; BESS: private preferential 8.5% (VPI assumption; incentive principle Law 145/2025)</t>
  </si>
  <si>
    <t>CRF (capital recovery factor)</t>
  </si>
  <si>
    <t>—</t>
  </si>
  <si>
    <t>CRF = r(1+r)^n/((1+r)^n−1)</t>
  </si>
  <si>
    <t>Round-trip efficiency (RTE)</t>
  </si>
  <si>
    <t>NREL ATB 2024; IEA</t>
  </si>
  <si>
    <t>Discharge duration</t>
  </si>
  <si>
    <t>hours</t>
  </si>
  <si>
    <t>PSHP 8h; BESS 4h</t>
  </si>
  <si>
    <t>DoD (BESS only)</t>
  </si>
  <si>
    <t>Depth of discharge</t>
  </si>
  <si>
    <t>Cycles per year</t>
  </si>
  <si>
    <t>cycles</t>
  </si>
  <si>
    <t>Reserve asset; BESS daily discharge</t>
  </si>
  <si>
    <t>Technology (capacity scenario)</t>
  </si>
  <si>
    <t>Capacity</t>
  </si>
  <si>
    <t>CAPEX (USD m)</t>
  </si>
  <si>
    <t>Reserve cost/yr (USD m)</t>
  </si>
  <si>
    <t>Energy avail. (TWh/yr)</t>
  </si>
  <si>
    <t>Connection CAPEX (USD m)</t>
  </si>
  <si>
    <t xml:space="preserve">Location/ Lag </t>
  </si>
  <si>
    <t>PSHP (Bac Ai phase 1)</t>
  </si>
  <si>
    <t>MW</t>
  </si>
  <si>
    <t>Domestic (Bac Ai, Phuoc Hoa) · Minutes (pump/turbine start)</t>
  </si>
  <si>
    <t>BESS 4h (distributed)</t>
  </si>
  <si>
    <t>MWh</t>
  </si>
  <si>
    <t>Domestic, distributed near load · Seconds (instant)</t>
  </si>
  <si>
    <t>CAPEX &amp; OPEX INPUT - - DGE-METRIC MODEL</t>
  </si>
  <si>
    <t>KT</t>
  </si>
  <si>
    <t>Refinery products (500)</t>
  </si>
  <si>
    <t>Refinery products (1000)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</si>
</sst>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_(* #,##0_);_(* \(#,##0\);_(* &quot;-&quot;??_);_(@_)"/>
    <numFmt numFmtId="166" formatCode="#,##0.0"/>
    <numFmt numFmtId="167" formatCode="0.0%"/>
    <numFmt numFmtId="168" formatCode="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 "/>
    </font>
    <font>
      <b/>
      <sz val="11"/>
      <color theme="1"/>
      <name val="Arial "/>
    </font>
  </fonts>
  <fills count="3">
    <fill>
      <patternFill patternType="none"/>
    </fill>
    <fill>
      <patternFill patternType="gray125"/>
    </fill>
    <fill>
      <patternFill patternType="solid">
        <fgColor rgb="FFF2F5FA"/>
        <bgColor rgb="FFFFFFFF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3" fillId="0" borderId="0" xfId="2" applyFont="1" applyAlignment="1">
      <alignment horizontal="center" vertical="center"/>
    </xf>
    <xf numFmtId="0" fontId="2" fillId="0" borderId="0" xfId="2"/>
    <xf numFmtId="0" fontId="4" fillId="0" borderId="0" xfId="2" applyFont="1" applyAlignment="1">
      <alignment horizontal="left" vertical="center" wrapText="1"/>
    </xf>
    <xf numFmtId="0" fontId="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4" fontId="7" fillId="0" borderId="1" xfId="2" applyNumberFormat="1" applyFont="1" applyBorder="1" applyAlignment="1">
      <alignment horizontal="center" vertical="center" wrapText="1"/>
    </xf>
    <xf numFmtId="3" fontId="6" fillId="0" borderId="1" xfId="2" applyNumberFormat="1" applyFont="1" applyBorder="1" applyAlignment="1">
      <alignment horizontal="center" vertical="center" wrapText="1"/>
    </xf>
    <xf numFmtId="166" fontId="6" fillId="0" borderId="1" xfId="2" applyNumberFormat="1" applyFont="1" applyBorder="1" applyAlignment="1">
      <alignment horizontal="center" vertical="center" wrapText="1"/>
    </xf>
    <xf numFmtId="0" fontId="6" fillId="0" borderId="2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left" vertical="center" wrapText="1"/>
    </xf>
    <xf numFmtId="4" fontId="9" fillId="0" borderId="1" xfId="2" applyNumberFormat="1" applyFont="1" applyBorder="1" applyAlignment="1">
      <alignment horizontal="center" vertical="center" wrapText="1"/>
    </xf>
    <xf numFmtId="166" fontId="9" fillId="0" borderId="1" xfId="2" applyNumberFormat="1" applyFont="1" applyBorder="1" applyAlignment="1">
      <alignment horizontal="center" vertical="center" wrapText="1"/>
    </xf>
    <xf numFmtId="166" fontId="8" fillId="0" borderId="1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left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4" fontId="9" fillId="2" borderId="1" xfId="2" applyNumberFormat="1" applyFont="1" applyFill="1" applyBorder="1" applyAlignment="1">
      <alignment horizontal="center" vertical="center" wrapText="1"/>
    </xf>
    <xf numFmtId="166" fontId="9" fillId="2" borderId="1" xfId="2" applyNumberFormat="1" applyFont="1" applyFill="1" applyBorder="1" applyAlignment="1">
      <alignment horizontal="center" vertical="center" wrapText="1"/>
    </xf>
    <xf numFmtId="166" fontId="8" fillId="2" borderId="1" xfId="2" applyNumberFormat="1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left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11" fillId="0" borderId="0" xfId="2" applyFont="1" applyAlignment="1">
      <alignment horizontal="left" vertical="center"/>
    </xf>
    <xf numFmtId="0" fontId="5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2" fillId="0" borderId="5" xfId="2" applyBorder="1"/>
    <xf numFmtId="4" fontId="12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left" vertical="center" wrapText="1"/>
    </xf>
    <xf numFmtId="0" fontId="10" fillId="0" borderId="7" xfId="2" applyFont="1" applyBorder="1" applyAlignment="1">
      <alignment horizontal="left" vertical="center" wrapText="1"/>
    </xf>
    <xf numFmtId="0" fontId="10" fillId="0" borderId="8" xfId="2" applyFont="1" applyBorder="1" applyAlignment="1">
      <alignment horizontal="left" vertical="center" wrapText="1"/>
    </xf>
    <xf numFmtId="167" fontId="12" fillId="0" borderId="1" xfId="2" applyNumberFormat="1" applyFont="1" applyBorder="1" applyAlignment="1">
      <alignment horizontal="center" vertical="center" wrapText="1"/>
    </xf>
    <xf numFmtId="3" fontId="12" fillId="0" borderId="1" xfId="2" applyNumberFormat="1" applyFont="1" applyBorder="1" applyAlignment="1">
      <alignment horizontal="center" vertical="center" wrapText="1"/>
    </xf>
    <xf numFmtId="168" fontId="12" fillId="0" borderId="1" xfId="2" applyNumberFormat="1" applyFont="1" applyBorder="1" applyAlignment="1">
      <alignment horizontal="center" vertical="center" wrapText="1"/>
    </xf>
    <xf numFmtId="9" fontId="12" fillId="0" borderId="1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12" fillId="0" borderId="1" xfId="2" applyFont="1" applyBorder="1" applyAlignment="1">
      <alignment horizontal="center" vertical="center" wrapText="1"/>
    </xf>
    <xf numFmtId="166" fontId="4" fillId="0" borderId="1" xfId="2" applyNumberFormat="1" applyFont="1" applyBorder="1" applyAlignment="1">
      <alignment horizontal="center" vertical="center" wrapText="1"/>
    </xf>
    <xf numFmtId="4" fontId="4" fillId="0" borderId="1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65" fontId="13" fillId="0" borderId="9" xfId="1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</cellXfs>
  <cellStyles count="3">
    <cellStyle name="Comma" xfId="1" builtinId="3"/>
    <cellStyle name="Normal" xfId="0" builtinId="0"/>
    <cellStyle name="Normal 2" xfId="2" xr:uid="{E21F1C5B-E012-4FE7-A998-3DC2E93732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F53B-DA30-41C7-B04F-159C02DD97C0}">
  <dimension ref="A1:I50"/>
  <sheetViews>
    <sheetView zoomScaleNormal="100" workbookViewId="0">
      <pane ySplit="1" topLeftCell="A2" activePane="bottomLeft" state="frozen"/>
      <selection pane="bottomLeft" activeCell="B7" sqref="B7"/>
    </sheetView>
  </sheetViews>
  <sheetFormatPr defaultColWidth="8.6328125" defaultRowHeight="14.5"/>
  <cols>
    <col min="1" max="1" width="9.26953125" style="2" customWidth="1"/>
    <col min="2" max="2" width="30" style="2" customWidth="1"/>
    <col min="3" max="3" width="12" style="2" customWidth="1"/>
    <col min="4" max="4" width="11" style="2" customWidth="1"/>
    <col min="5" max="6" width="12" style="2" customWidth="1"/>
    <col min="7" max="8" width="13" style="2" customWidth="1"/>
    <col min="9" max="9" width="43.6328125" style="2" customWidth="1"/>
    <col min="10" max="16384" width="8.6328125" style="2"/>
  </cols>
  <sheetData>
    <row r="1" spans="1:9" ht="27.75" customHeight="1">
      <c r="A1" s="1" t="s">
        <v>17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3" t="s">
        <v>18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19</v>
      </c>
    </row>
    <row r="4" spans="1:9" ht="21">
      <c r="A4" s="4" t="s">
        <v>20</v>
      </c>
      <c r="B4" s="4" t="s">
        <v>21</v>
      </c>
      <c r="C4" s="4" t="s">
        <v>22</v>
      </c>
      <c r="D4" s="4" t="s">
        <v>23</v>
      </c>
    </row>
    <row r="5" spans="1:9">
      <c r="A5" s="5" t="s">
        <v>24</v>
      </c>
      <c r="B5" s="6">
        <v>6.1643835616438354</v>
      </c>
      <c r="C5" s="7">
        <v>294.65753424657532</v>
      </c>
      <c r="D5" s="8">
        <v>57.060713533751233</v>
      </c>
    </row>
    <row r="6" spans="1:9">
      <c r="A6" s="5" t="s">
        <v>25</v>
      </c>
      <c r="B6" s="6">
        <v>12.328767123287671</v>
      </c>
      <c r="C6" s="7">
        <v>589.31506849315065</v>
      </c>
      <c r="D6" s="8">
        <v>114.12142706750247</v>
      </c>
    </row>
    <row r="7" spans="1:9">
      <c r="A7" s="5" t="s">
        <v>26</v>
      </c>
      <c r="B7" s="6">
        <v>18.493150684931507</v>
      </c>
      <c r="C7" s="7">
        <v>883.97260273972597</v>
      </c>
      <c r="D7" s="8">
        <v>171.18214060125371</v>
      </c>
    </row>
    <row r="9" spans="1:9" ht="21" customHeight="1">
      <c r="A9" s="9" t="s">
        <v>27</v>
      </c>
      <c r="B9" s="9"/>
      <c r="C9" s="9"/>
      <c r="D9" s="9"/>
      <c r="E9" s="9"/>
      <c r="F9" s="9"/>
      <c r="G9" s="9"/>
      <c r="H9" s="9"/>
      <c r="I9" s="9"/>
    </row>
    <row r="10" spans="1:9" ht="33.75" customHeight="1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  <c r="G10" s="4" t="s">
        <v>34</v>
      </c>
      <c r="H10" s="4" t="s">
        <v>35</v>
      </c>
      <c r="I10" s="4" t="s">
        <v>36</v>
      </c>
    </row>
    <row r="11" spans="1:9" ht="21.75" customHeight="1">
      <c r="A11" s="10" t="s">
        <v>24</v>
      </c>
      <c r="B11" s="11" t="s">
        <v>37</v>
      </c>
      <c r="C11" s="12">
        <v>6.1643835616438354</v>
      </c>
      <c r="D11" s="13">
        <v>32.890770887603736</v>
      </c>
      <c r="E11" s="13">
        <v>27.462328767123285</v>
      </c>
      <c r="F11" s="14">
        <f t="shared" ref="F11:F16" si="0">D11+E11</f>
        <v>60.353099654727018</v>
      </c>
      <c r="G11" s="13">
        <v>39.430479452054797</v>
      </c>
      <c r="H11" s="14">
        <v>14.983582191780823</v>
      </c>
      <c r="I11" s="15" t="s">
        <v>38</v>
      </c>
    </row>
    <row r="12" spans="1:9" ht="21.75" customHeight="1">
      <c r="A12" s="16"/>
      <c r="B12" s="11" t="s">
        <v>39</v>
      </c>
      <c r="C12" s="12">
        <v>6.1643835616438354</v>
      </c>
      <c r="D12" s="13">
        <v>73.1740086311829</v>
      </c>
      <c r="E12" s="13">
        <v>39.945205479452056</v>
      </c>
      <c r="F12" s="14">
        <f t="shared" si="0"/>
        <v>113.11921411063496</v>
      </c>
      <c r="G12" s="13">
        <v>43.015068493150686</v>
      </c>
      <c r="H12" s="14">
        <v>16.345726027397262</v>
      </c>
      <c r="I12" s="15" t="s">
        <v>40</v>
      </c>
    </row>
    <row r="13" spans="1:9" ht="21.75" customHeight="1">
      <c r="A13" s="17" t="s">
        <v>25</v>
      </c>
      <c r="B13" s="18" t="s">
        <v>37</v>
      </c>
      <c r="C13" s="19">
        <v>12.328767123287671</v>
      </c>
      <c r="D13" s="20">
        <v>65.781541775207472</v>
      </c>
      <c r="E13" s="20">
        <v>54.92465753424657</v>
      </c>
      <c r="F13" s="14">
        <f t="shared" si="0"/>
        <v>120.70619930945404</v>
      </c>
      <c r="G13" s="20">
        <v>78.860958904109594</v>
      </c>
      <c r="H13" s="21">
        <v>29.967164383561645</v>
      </c>
      <c r="I13" s="22" t="s">
        <v>38</v>
      </c>
    </row>
    <row r="14" spans="1:9" ht="21.75" customHeight="1">
      <c r="A14" s="23"/>
      <c r="B14" s="18" t="s">
        <v>39</v>
      </c>
      <c r="C14" s="19">
        <v>12.328767123287671</v>
      </c>
      <c r="D14" s="20">
        <v>146.3480172623658</v>
      </c>
      <c r="E14" s="20">
        <v>79.890410958904113</v>
      </c>
      <c r="F14" s="14">
        <f t="shared" si="0"/>
        <v>226.23842822126991</v>
      </c>
      <c r="G14" s="20">
        <v>86.030136986301372</v>
      </c>
      <c r="H14" s="21">
        <v>32.691452054794524</v>
      </c>
      <c r="I14" s="22" t="s">
        <v>40</v>
      </c>
    </row>
    <row r="15" spans="1:9" ht="21.75" customHeight="1">
      <c r="A15" s="10" t="s">
        <v>26</v>
      </c>
      <c r="B15" s="11" t="s">
        <v>37</v>
      </c>
      <c r="C15" s="12">
        <v>18.493150684931507</v>
      </c>
      <c r="D15" s="13">
        <v>98.672312662811223</v>
      </c>
      <c r="E15" s="13">
        <v>82.386986301369859</v>
      </c>
      <c r="F15" s="14">
        <f t="shared" si="0"/>
        <v>181.0592989641811</v>
      </c>
      <c r="G15" s="13">
        <v>118.29143835616438</v>
      </c>
      <c r="H15" s="14">
        <v>44.950746575342464</v>
      </c>
      <c r="I15" s="15" t="s">
        <v>38</v>
      </c>
    </row>
    <row r="16" spans="1:9" ht="21.75" customHeight="1">
      <c r="A16" s="16"/>
      <c r="B16" s="11" t="s">
        <v>39</v>
      </c>
      <c r="C16" s="12">
        <v>18.493150684931507</v>
      </c>
      <c r="D16" s="13">
        <v>219.52202589354872</v>
      </c>
      <c r="E16" s="13">
        <v>119.83561643835615</v>
      </c>
      <c r="F16" s="14">
        <f t="shared" si="0"/>
        <v>339.35764233190486</v>
      </c>
      <c r="G16" s="13">
        <v>129.04520547945208</v>
      </c>
      <c r="H16" s="14">
        <v>49.037178082191794</v>
      </c>
      <c r="I16" s="15" t="s">
        <v>40</v>
      </c>
    </row>
    <row r="18" spans="1:9" ht="18" customHeight="1">
      <c r="A18" s="24" t="s">
        <v>41</v>
      </c>
      <c r="B18" s="24"/>
      <c r="C18" s="24"/>
      <c r="D18" s="24"/>
      <c r="E18" s="24"/>
      <c r="F18" s="24"/>
      <c r="G18" s="24"/>
      <c r="H18" s="24"/>
      <c r="I18" s="24"/>
    </row>
    <row r="19" spans="1:9" ht="25.5" customHeight="1">
      <c r="A19" s="25"/>
      <c r="B19" s="4" t="s">
        <v>42</v>
      </c>
      <c r="C19" s="4" t="s">
        <v>43</v>
      </c>
      <c r="D19" s="4" t="s">
        <v>44</v>
      </c>
      <c r="E19" s="4" t="s">
        <v>2</v>
      </c>
      <c r="F19" s="26" t="s">
        <v>45</v>
      </c>
      <c r="G19" s="27"/>
      <c r="H19" s="27"/>
      <c r="I19" s="28"/>
    </row>
    <row r="20" spans="1:9" ht="29" customHeight="1">
      <c r="A20" s="29"/>
      <c r="B20" s="11" t="s">
        <v>46</v>
      </c>
      <c r="C20" s="30">
        <v>1500</v>
      </c>
      <c r="D20" s="30">
        <v>200</v>
      </c>
      <c r="E20" s="31" t="s">
        <v>47</v>
      </c>
      <c r="F20" s="32" t="s">
        <v>48</v>
      </c>
      <c r="G20" s="33"/>
      <c r="H20" s="33"/>
      <c r="I20" s="34"/>
    </row>
    <row r="21" spans="1:9" ht="24.5" customHeight="1">
      <c r="A21" s="29"/>
      <c r="B21" s="11" t="s">
        <v>49</v>
      </c>
      <c r="C21" s="35">
        <v>1.4999999999999999E-2</v>
      </c>
      <c r="D21" s="35">
        <v>2.5000000000000001E-2</v>
      </c>
      <c r="E21" s="31" t="s">
        <v>50</v>
      </c>
      <c r="F21" s="32" t="s">
        <v>51</v>
      </c>
      <c r="G21" s="33"/>
      <c r="H21" s="33"/>
      <c r="I21" s="34"/>
    </row>
    <row r="22" spans="1:9" ht="26.5" customHeight="1">
      <c r="A22" s="29"/>
      <c r="B22" s="11" t="s">
        <v>52</v>
      </c>
      <c r="C22" s="36">
        <v>30</v>
      </c>
      <c r="D22" s="36">
        <v>15</v>
      </c>
      <c r="E22" s="31" t="s">
        <v>53</v>
      </c>
      <c r="F22" s="32" t="s">
        <v>54</v>
      </c>
      <c r="G22" s="33"/>
      <c r="H22" s="33"/>
      <c r="I22" s="34"/>
    </row>
    <row r="23" spans="1:9" ht="32.5" customHeight="1">
      <c r="A23" s="29"/>
      <c r="B23" s="11" t="s">
        <v>55</v>
      </c>
      <c r="C23" s="35">
        <v>7.4999999999999997E-2</v>
      </c>
      <c r="D23" s="35">
        <v>8.5000000000000006E-2</v>
      </c>
      <c r="E23" s="31" t="s">
        <v>50</v>
      </c>
      <c r="F23" s="32" t="s">
        <v>56</v>
      </c>
      <c r="G23" s="33"/>
      <c r="H23" s="33"/>
      <c r="I23" s="34"/>
    </row>
    <row r="24" spans="1:9" ht="13.5" customHeight="1">
      <c r="A24" s="29"/>
      <c r="B24" s="11" t="s">
        <v>57</v>
      </c>
      <c r="C24" s="37">
        <v>8.4699999999999998E-2</v>
      </c>
      <c r="D24" s="37">
        <v>0.12039999999999999</v>
      </c>
      <c r="E24" s="31" t="s">
        <v>58</v>
      </c>
      <c r="F24" s="32" t="s">
        <v>59</v>
      </c>
      <c r="G24" s="33"/>
      <c r="H24" s="33"/>
      <c r="I24" s="34"/>
    </row>
    <row r="25" spans="1:9" ht="13.5" customHeight="1">
      <c r="A25" s="29"/>
      <c r="B25" s="11" t="s">
        <v>60</v>
      </c>
      <c r="C25" s="38">
        <v>0.8</v>
      </c>
      <c r="D25" s="38">
        <v>0.88</v>
      </c>
      <c r="E25" s="31" t="s">
        <v>58</v>
      </c>
      <c r="F25" s="32" t="s">
        <v>61</v>
      </c>
      <c r="G25" s="33"/>
      <c r="H25" s="33"/>
      <c r="I25" s="34"/>
    </row>
    <row r="26" spans="1:9" ht="13.5" customHeight="1">
      <c r="A26" s="29"/>
      <c r="B26" s="11" t="s">
        <v>62</v>
      </c>
      <c r="C26" s="36">
        <v>8</v>
      </c>
      <c r="D26" s="36">
        <v>4</v>
      </c>
      <c r="E26" s="31" t="s">
        <v>63</v>
      </c>
      <c r="F26" s="32" t="s">
        <v>64</v>
      </c>
      <c r="G26" s="33"/>
      <c r="H26" s="33"/>
      <c r="I26" s="34"/>
    </row>
    <row r="27" spans="1:9" ht="13.5" customHeight="1">
      <c r="A27" s="29"/>
      <c r="B27" s="11" t="s">
        <v>65</v>
      </c>
      <c r="C27" s="38" t="s">
        <v>58</v>
      </c>
      <c r="D27" s="38">
        <v>0.9</v>
      </c>
      <c r="E27" s="31" t="s">
        <v>58</v>
      </c>
      <c r="F27" s="32" t="s">
        <v>66</v>
      </c>
      <c r="G27" s="33"/>
      <c r="H27" s="33"/>
      <c r="I27" s="34"/>
    </row>
    <row r="28" spans="1:9" ht="13.5" customHeight="1">
      <c r="A28" s="29"/>
      <c r="B28" s="11" t="s">
        <v>67</v>
      </c>
      <c r="C28" s="36">
        <v>250</v>
      </c>
      <c r="D28" s="36">
        <v>365</v>
      </c>
      <c r="E28" s="31" t="s">
        <v>68</v>
      </c>
      <c r="F28" s="32" t="s">
        <v>69</v>
      </c>
      <c r="G28" s="33"/>
      <c r="H28" s="33"/>
      <c r="I28" s="34"/>
    </row>
    <row r="30" spans="1:9" ht="33.75" customHeight="1">
      <c r="A30" s="25"/>
      <c r="B30" s="4" t="s">
        <v>70</v>
      </c>
      <c r="C30" s="4" t="s">
        <v>71</v>
      </c>
      <c r="D30" s="4" t="s">
        <v>2</v>
      </c>
      <c r="E30" s="4" t="s">
        <v>72</v>
      </c>
      <c r="F30" s="4" t="s">
        <v>73</v>
      </c>
      <c r="G30" s="4" t="s">
        <v>74</v>
      </c>
      <c r="H30" s="4" t="s">
        <v>75</v>
      </c>
      <c r="I30" s="4" t="s">
        <v>76</v>
      </c>
    </row>
    <row r="31" spans="1:9" ht="24" customHeight="1">
      <c r="A31" s="29"/>
      <c r="B31" s="39" t="s">
        <v>77</v>
      </c>
      <c r="C31" s="36">
        <v>1200</v>
      </c>
      <c r="D31" s="40" t="s">
        <v>78</v>
      </c>
      <c r="E31" s="36">
        <f>C31*$C$20/1000</f>
        <v>1800</v>
      </c>
      <c r="F31" s="41">
        <f>E31*($C$24+$C$21)</f>
        <v>179.46</v>
      </c>
      <c r="G31" s="42">
        <f>C31*$C$26*$C$28*$C$25/1000000</f>
        <v>1.92</v>
      </c>
      <c r="H31" s="36">
        <f>C31*100/1000</f>
        <v>120</v>
      </c>
      <c r="I31" s="15" t="s">
        <v>79</v>
      </c>
    </row>
    <row r="32" spans="1:9" ht="24" customHeight="1">
      <c r="A32" s="29"/>
      <c r="B32" s="39" t="s">
        <v>80</v>
      </c>
      <c r="C32" s="36">
        <v>1000</v>
      </c>
      <c r="D32" s="40" t="s">
        <v>81</v>
      </c>
      <c r="E32" s="36">
        <f>C32*$D$20/1000</f>
        <v>200</v>
      </c>
      <c r="F32" s="41">
        <f>E32*($D$24+$D$21)</f>
        <v>29.080000000000002</v>
      </c>
      <c r="G32" s="42">
        <f>C32*$D$28*$D$27*$D$25/1000000</f>
        <v>0.28908</v>
      </c>
      <c r="H32" s="36">
        <v>0</v>
      </c>
      <c r="I32" s="15" t="s">
        <v>82</v>
      </c>
    </row>
    <row r="34" ht="18" customHeight="1"/>
    <row r="35" ht="30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30" customHeight="1"/>
    <row r="47" ht="15.75" customHeight="1"/>
    <row r="48" ht="15.75" customHeight="1"/>
    <row r="49" ht="15.75" customHeight="1"/>
    <row r="50" ht="45.75" customHeight="1"/>
  </sheetData>
  <mergeCells count="17">
    <mergeCell ref="F24:I24"/>
    <mergeCell ref="F25:I25"/>
    <mergeCell ref="F26:I26"/>
    <mergeCell ref="F27:I27"/>
    <mergeCell ref="F28:I28"/>
    <mergeCell ref="A18:I18"/>
    <mergeCell ref="F19:I19"/>
    <mergeCell ref="F20:I20"/>
    <mergeCell ref="F21:I21"/>
    <mergeCell ref="F22:I22"/>
    <mergeCell ref="F23:I23"/>
    <mergeCell ref="A1:I1"/>
    <mergeCell ref="A2:I2"/>
    <mergeCell ref="A9:I9"/>
    <mergeCell ref="A11:A12"/>
    <mergeCell ref="A13:A14"/>
    <mergeCell ref="A15:A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B38E-0CEF-4D6E-93AA-BE0CE7ADADE1}">
  <dimension ref="A1:F11"/>
  <sheetViews>
    <sheetView tabSelected="1" topLeftCell="A3" workbookViewId="0">
      <selection activeCell="E9" sqref="E9"/>
    </sheetView>
  </sheetViews>
  <sheetFormatPr defaultRowHeight="14"/>
  <cols>
    <col min="1" max="1" width="16.26953125" style="44" bestFit="1" customWidth="1"/>
    <col min="2" max="2" width="13.08984375" style="44" bestFit="1" customWidth="1"/>
    <col min="3" max="3" width="13.08984375" style="44" customWidth="1"/>
    <col min="4" max="4" width="22.453125" style="44" bestFit="1" customWidth="1"/>
    <col min="5" max="5" width="18.453125" style="43" bestFit="1" customWidth="1"/>
    <col min="6" max="6" width="33.6328125" style="43" bestFit="1" customWidth="1"/>
    <col min="7" max="16384" width="8.7265625" style="43"/>
  </cols>
  <sheetData>
    <row r="1" spans="1:6" ht="32.5" customHeight="1">
      <c r="A1" s="45" t="s">
        <v>83</v>
      </c>
      <c r="B1" s="45"/>
      <c r="C1" s="45"/>
      <c r="D1" s="45"/>
      <c r="E1" s="45"/>
      <c r="F1" s="45"/>
    </row>
    <row r="2" spans="1:6" ht="32.5" customHeight="1">
      <c r="A2" s="46" t="s">
        <v>1</v>
      </c>
      <c r="B2" s="46" t="s">
        <v>3</v>
      </c>
      <c r="C2" s="46" t="s">
        <v>2</v>
      </c>
      <c r="D2" s="46" t="s">
        <v>0</v>
      </c>
      <c r="E2" s="46" t="s">
        <v>9</v>
      </c>
      <c r="F2" s="46" t="s">
        <v>10</v>
      </c>
    </row>
    <row r="3" spans="1:6" ht="32.5" customHeight="1">
      <c r="A3" s="47" t="s">
        <v>5</v>
      </c>
      <c r="B3" s="48">
        <v>1000</v>
      </c>
      <c r="C3" s="47" t="s">
        <v>84</v>
      </c>
      <c r="D3" s="48">
        <v>300</v>
      </c>
      <c r="E3" s="49">
        <v>3.5</v>
      </c>
      <c r="F3" s="49" t="s">
        <v>11</v>
      </c>
    </row>
    <row r="4" spans="1:6" ht="32.5" customHeight="1">
      <c r="A4" s="47" t="s">
        <v>6</v>
      </c>
      <c r="B4" s="48">
        <v>2000</v>
      </c>
      <c r="C4" s="47" t="s">
        <v>84</v>
      </c>
      <c r="D4" s="48">
        <v>600</v>
      </c>
      <c r="E4" s="49">
        <v>7</v>
      </c>
      <c r="F4" s="49" t="s">
        <v>11</v>
      </c>
    </row>
    <row r="5" spans="1:6" ht="32.5" customHeight="1">
      <c r="A5" s="47" t="s">
        <v>13</v>
      </c>
      <c r="B5" s="48">
        <v>3000</v>
      </c>
      <c r="C5" s="47" t="s">
        <v>84</v>
      </c>
      <c r="D5" s="48">
        <v>900</v>
      </c>
      <c r="E5" s="49">
        <v>10.5</v>
      </c>
      <c r="F5" s="49" t="s">
        <v>11</v>
      </c>
    </row>
    <row r="6" spans="1:6" ht="32.5" customHeight="1">
      <c r="A6" s="47" t="s">
        <v>85</v>
      </c>
      <c r="B6" s="48">
        <v>500000</v>
      </c>
      <c r="C6" s="47" t="s">
        <v>4</v>
      </c>
      <c r="D6" s="48">
        <v>250</v>
      </c>
      <c r="E6" s="49">
        <v>5</v>
      </c>
      <c r="F6" s="49" t="s">
        <v>12</v>
      </c>
    </row>
    <row r="7" spans="1:6" ht="32.5" customHeight="1">
      <c r="A7" s="47" t="s">
        <v>86</v>
      </c>
      <c r="B7" s="48">
        <v>1000000</v>
      </c>
      <c r="C7" s="47" t="s">
        <v>4</v>
      </c>
      <c r="D7" s="48">
        <v>500</v>
      </c>
      <c r="E7" s="49">
        <v>10</v>
      </c>
      <c r="F7" s="49" t="s">
        <v>12</v>
      </c>
    </row>
    <row r="8" spans="1:6" ht="32.5" customHeight="1">
      <c r="A8" s="47" t="s">
        <v>86</v>
      </c>
      <c r="B8" s="48">
        <v>1500000</v>
      </c>
      <c r="C8" s="47" t="s">
        <v>4</v>
      </c>
      <c r="D8" s="48">
        <v>750</v>
      </c>
      <c r="E8" s="49">
        <v>15</v>
      </c>
      <c r="F8" s="49" t="s">
        <v>12</v>
      </c>
    </row>
    <row r="9" spans="1:6" ht="32.5" customHeight="1">
      <c r="A9" s="47" t="s">
        <v>7</v>
      </c>
      <c r="B9" s="48">
        <v>3000</v>
      </c>
      <c r="C9" s="47" t="s">
        <v>84</v>
      </c>
      <c r="D9" s="48">
        <v>1050</v>
      </c>
      <c r="E9" s="49">
        <v>77</v>
      </c>
      <c r="F9" s="49" t="s">
        <v>14</v>
      </c>
    </row>
    <row r="10" spans="1:6" ht="32.5" customHeight="1">
      <c r="A10" s="47" t="s">
        <v>8</v>
      </c>
      <c r="B10" s="48">
        <v>6000</v>
      </c>
      <c r="C10" s="47" t="s">
        <v>84</v>
      </c>
      <c r="D10" s="48">
        <v>2100</v>
      </c>
      <c r="E10" s="49">
        <v>140</v>
      </c>
      <c r="F10" s="49" t="s">
        <v>14</v>
      </c>
    </row>
    <row r="11" spans="1:6" ht="32.5" customHeight="1">
      <c r="A11" s="47" t="s">
        <v>15</v>
      </c>
      <c r="B11" s="48">
        <v>240</v>
      </c>
      <c r="C11" s="47" t="s">
        <v>84</v>
      </c>
      <c r="D11" s="48">
        <v>400</v>
      </c>
      <c r="E11" s="49">
        <v>15</v>
      </c>
      <c r="F11" s="49" t="s">
        <v>16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Inputs_Coal-BESS-PHS</vt:lpstr>
      <vt:lpstr>Oil &amp; 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Minh Thuan</dc:creator>
  <cp:lastModifiedBy>Huynh Minh Thuan</cp:lastModifiedBy>
  <dcterms:created xsi:type="dcterms:W3CDTF">2026-06-23T08:41:21Z</dcterms:created>
  <dcterms:modified xsi:type="dcterms:W3CDTF">2026-06-23T15:53:12Z</dcterms:modified>
</cp:coreProperties>
</file>